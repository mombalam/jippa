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<sst xmlns="http://schemas.openxmlformats.org/spreadsheetml/2006/main" count="89" uniqueCount="89">
  <si>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Jippa — Bottom-Up TAM Model</t>
  </si>
  <si>
    <t xml:space="preserve">Zimbabwe Consumer Financial Services (Annual Revenue)</t>
  </si>
  <si>
    <t xml:space="preserve">All inputs in blue. All outputs in black. Yellow = key assumption.</t>
  </si>
  <si>
    <t xml:space="preserve">Metric</t>
  </si>
  <si>
    <t xml:space="preserve">Value</t>
  </si>
  <si>
    <t xml:space="preserve">Annual Revenue (USD)</t>
  </si>
  <si>
    <t xml:space="preserve">Source / Notes</t>
  </si>
  <si>
    <t xml:space="preserve">MARKET FUNDAMENTALS</t>
  </si>
  <si>
    <t xml:space="preserve">Zimbabwe population</t>
  </si>
  <si>
    <t xml:space="preserve">ZIMSTAT / Worldometer, 2024</t>
  </si>
  <si>
    <t xml:space="preserve">Adult population (15+)</t>
  </si>
  <si>
    <t xml:space="preserve">World Bank Findex, 2024</t>
  </si>
  <si>
    <t xml:space="preserve">Mobile wallet users</t>
  </si>
  <si>
    <t xml:space="preserve">RBZ, 2023</t>
  </si>
  <si>
    <t xml:space="preserve">Smartphone users w/ active wallets</t>
  </si>
  <si>
    <t xml:space="preserve">Estimate: ~50% of wallet users</t>
  </si>
  <si>
    <t xml:space="preserve">Financial inclusion rate</t>
  </si>
  <si>
    <t xml:space="preserve">88%</t>
  </si>
  <si>
    <t xml:space="preserve">FinScope Zimbabwe, 2022</t>
  </si>
  <si>
    <t xml:space="preserve">Informal economy share</t>
  </si>
  <si>
    <t xml:space="preserve">76%</t>
  </si>
  <si>
    <t xml:space="preserve">ZIMSTAT economic census, 2025 (Bloomberg)</t>
  </si>
  <si>
    <t xml:space="preserve">1. LENDING</t>
  </si>
  <si>
    <t xml:space="preserve">Addressable base (mobile wallet users)</t>
  </si>
  <si>
    <t xml:space="preserve">Same as RBZ mobile wallet figure</t>
  </si>
  <si>
    <t xml:space="preserve">Borrower penetration rate</t>
  </si>
  <si>
    <t xml:space="preserve">KaShagi reached 11% of EcoCash (903K/8.35M). 20% = conservative upside with better product.</t>
  </si>
  <si>
    <t xml:space="preserve">Addressable borrowers</t>
  </si>
  <si>
    <t xml:space="preserve">Avg. loan size (USD)</t>
  </si>
  <si>
    <t xml:space="preserve">Blended: $10-$500 range, weighted toward smaller loans</t>
  </si>
  <si>
    <t xml:space="preserve">Avg. loans per borrower per year</t>
  </si>
  <si>
    <t xml:space="preserve">Bi-monthly cycles for active borrowers (30-day terms)</t>
  </si>
  <si>
    <t xml:space="preserve">Avg. fee/interest per loan</t>
  </si>
  <si>
    <t xml:space="preserve">Blended: 7-12% across products. KaShagi charges 15%.</t>
  </si>
  <si>
    <t xml:space="preserve">Revenue per borrower per year</t>
  </si>
  <si>
    <t xml:space="preserve">LENDING TAM (Annual)</t>
  </si>
  <si>
    <t xml:space="preserve">2. SAVINGS</t>
  </si>
  <si>
    <t xml:space="preserve">Addressable savers (regular earners)</t>
  </si>
  <si>
    <t xml:space="preserve">Subset of wallet users with recurring income</t>
  </si>
  <si>
    <t xml:space="preserve">Avg. annual deposit balance (USD)</t>
  </si>
  <si>
    <t xml:space="preserve">Low bar: informal earners saving $25/month</t>
  </si>
  <si>
    <t xml:space="preserve">Net interest margin on float</t>
  </si>
  <si>
    <t xml:space="preserve">Lend at 15-20%, pay savers 2-3%. Spread ~5%.</t>
  </si>
  <si>
    <t xml:space="preserve">Revenue per saver per year</t>
  </si>
  <si>
    <t xml:space="preserve">SAVINGS TAM (Annual)</t>
  </si>
  <si>
    <t xml:space="preserve">3. VIRTUAL CARDS / PAYMENTS</t>
  </si>
  <si>
    <t xml:space="preserve">Addressable card users</t>
  </si>
  <si>
    <t xml:space="preserve">Businesses, freelancers, tech workers, diaspora-connected</t>
  </si>
  <si>
    <t xml:space="preserve">Avg. annual card spend (USD)</t>
  </si>
  <si>
    <t xml:space="preserve">SaaS, imports, e-commerce. Conservative.</t>
  </si>
  <si>
    <t xml:space="preserve">Blended take rate (FX + interchange)</t>
  </si>
  <si>
    <t xml:space="preserve">FX markup ~2% + interchange ~1.5%</t>
  </si>
  <si>
    <t xml:space="preserve">Revenue per card user per year</t>
  </si>
  <si>
    <t xml:space="preserve">CARDS TAM (Annual)</t>
  </si>
  <si>
    <t xml:space="preserve">TOTAL ZIMBABWE TAM (Annual Revenue)</t>
  </si>
  <si>
    <t xml:space="preserve">SAM — SERVICEABLE ADDRESSABLE MARKET</t>
  </si>
  <si>
    <t xml:space="preserve">SAM narrows to smartphone users with active wallets (3.5M) — the realistic digital-first audience.</t>
  </si>
  <si>
    <t xml:space="preserve">SAM Lending</t>
  </si>
  <si>
    <t xml:space="preserve">3.5M smartphone base × 20% penetration × same unit economics</t>
  </si>
  <si>
    <t xml:space="preserve">SAM Savings</t>
  </si>
  <si>
    <t xml:space="preserve">500K savers from smartphone base</t>
  </si>
  <si>
    <t xml:space="preserve">SAM Cards</t>
  </si>
  <si>
    <t xml:space="preserve">300K card users from smartphone base</t>
  </si>
  <si>
    <t xml:space="preserve">TOTAL SAM (Annual)</t>
  </si>
  <si>
    <t xml:space="preserve">SOM — YEAR 1 PILOT</t>
  </si>
  <si>
    <t xml:space="preserve">Active borrowers (Year 1)</t>
  </si>
  <si>
    <t xml:space="preserve">Pilot target: Harare + Bulawayo</t>
  </si>
  <si>
    <t xml:space="preserve">Revenue per borrower</t>
  </si>
  <si>
    <t xml:space="preserve">Same unit economics as TAM</t>
  </si>
  <si>
    <t xml:space="preserve">SOM Lending (Year 1)</t>
  </si>
  <si>
    <t xml:space="preserve">SADC EXPANSION PATH</t>
  </si>
  <si>
    <t xml:space="preserve">Zambia, Malawi, Mozambique — same model, ~4x Zimbabwe's addressable base</t>
  </si>
  <si>
    <t xml:space="preserve">Combined adult mobile money users: ~30M+ across SADC</t>
  </si>
  <si>
    <t xml:space="preserve">MARKET PROOF — COMPETITOR REVENUE</t>
  </si>
  <si>
    <t xml:space="preserve">InnBucks FY2025 profit after tax</t>
  </si>
  <si>
    <t xml:space="preserve">ZiG74.6M (~$5M USD)</t>
  </si>
  <si>
    <t xml:space="preserve">327% loan growth. Newsday Zimbabwe, Sep 2025</t>
  </si>
  <si>
    <t xml:space="preserve">InnBucks users</t>
  </si>
  <si>
    <t xml:space="preserve">3M</t>
  </si>
  <si>
    <t xml:space="preserve">Mambu press release, May 2025</t>
  </si>
  <si>
    <t xml:space="preserve">KaShagi borrowers (single year)</t>
  </si>
  <si>
    <t xml:space="preserve">903K</t>
  </si>
  <si>
    <t xml:space="preserve">Cassava Smartech FY2023 results</t>
  </si>
  <si>
    <t xml:space="preserve">EcoCash subscribers</t>
  </si>
  <si>
    <t xml:space="preserve">8.35M</t>
  </si>
  <si>
    <t xml:space="preserve">Techzim, 2025</t>
  </si>
  <si>
    <t xml:space="preserve">Mukuru annual remittance flows</t>
  </si>
  <si>
    <t xml:space="preserve">$3.5-4B</t>
  </si>
  <si>
    <t xml:space="preserve">Company filings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</si>
</sst>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0"/>
    <numFmt numFmtId="168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1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E8C7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3"/>
      <color rgb="FF0E8C7F"/>
      <name val="Arial"/>
      <family val="0"/>
      <charset val="1"/>
    </font>
    <font>
      <b val="true"/>
      <sz val="11"/>
      <color rgb="FFE877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0F7F6"/>
        <bgColor rgb="FFFFFFFF"/>
      </patternFill>
    </fill>
    <fill>
      <patternFill patternType="solid">
        <fgColor rgb="FFD4EF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C7F"/>
      <rgbColor rgb="FFC0C0C0"/>
      <rgbColor rgb="FF808080"/>
      <rgbColor rgb="FF9999FF"/>
      <rgbColor rgb="FF993366"/>
      <rgbColor rgb="FFF0F7F6"/>
      <rgbColor rgb="FFD4EFEC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8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</row>
    <row r="7" customFormat="false" ht="15" hidden="false" customHeight="true" outlineLevel="0" collapsed="false">
      <c r="A7" s="7" t="s">
        <v>8</v>
      </c>
      <c r="B7" s="8" t="n">
        <v>17000000</v>
      </c>
      <c r="C7" s="9"/>
      <c r="D7" s="10" t="s">
        <v>9</v>
      </c>
    </row>
    <row r="8" customFormat="false" ht="15" hidden="false" customHeight="true" outlineLevel="0" collapsed="false">
      <c r="A8" s="7" t="s">
        <v>10</v>
      </c>
      <c r="B8" s="8" t="n">
        <v>9600000</v>
      </c>
      <c r="C8" s="9"/>
      <c r="D8" s="10" t="s">
        <v>11</v>
      </c>
    </row>
    <row r="9" customFormat="false" ht="15" hidden="false" customHeight="true" outlineLevel="0" collapsed="false">
      <c r="A9" s="7" t="s">
        <v>12</v>
      </c>
      <c r="B9" s="8" t="n">
        <v>7100000</v>
      </c>
      <c r="C9" s="9"/>
      <c r="D9" s="10" t="s">
        <v>13</v>
      </c>
    </row>
    <row r="10" customFormat="false" ht="15" hidden="false" customHeight="true" outlineLevel="0" collapsed="false">
      <c r="A10" s="7" t="s">
        <v>14</v>
      </c>
      <c r="B10" s="8" t="n">
        <v>3500000</v>
      </c>
      <c r="C10" s="9"/>
      <c r="D10" s="10" t="s">
        <v>15</v>
      </c>
    </row>
    <row r="11" customFormat="false" ht="15" hidden="false" customHeight="true" outlineLevel="0" collapsed="false">
      <c r="A11" s="7" t="s">
        <v>16</v>
      </c>
      <c r="B11" s="8" t="s">
        <v>17</v>
      </c>
      <c r="C11" s="9"/>
      <c r="D11" s="10" t="s">
        <v>18</v>
      </c>
    </row>
    <row r="12" customFormat="false" ht="15" hidden="false" customHeight="true" outlineLevel="0" collapsed="false">
      <c r="A12" s="7" t="s">
        <v>19</v>
      </c>
      <c r="B12" s="8" t="s">
        <v>20</v>
      </c>
      <c r="C12" s="9"/>
      <c r="D12" s="10" t="s">
        <v>21</v>
      </c>
    </row>
    <row r="14" customFormat="false" ht="15" hidden="false" customHeight="true" outlineLevel="0" collapsed="false">
      <c r="A14" s="6" t="s">
        <v>22</v>
      </c>
    </row>
    <row r="15" customFormat="false" ht="15" hidden="false" customHeight="true" outlineLevel="0" collapsed="false">
      <c r="A15" s="7" t="s">
        <v>23</v>
      </c>
      <c r="B15" s="8" t="n">
        <v>7100000</v>
      </c>
      <c r="C15" s="9"/>
      <c r="D15" s="10" t="s">
        <v>24</v>
      </c>
    </row>
    <row r="16" customFormat="false" ht="15" hidden="false" customHeight="true" outlineLevel="0" collapsed="false">
      <c r="A16" s="7" t="s">
        <v>25</v>
      </c>
      <c r="B16" s="11" t="n">
        <v>0.2</v>
      </c>
      <c r="C16" s="9"/>
      <c r="D16" s="10" t="s">
        <v>26</v>
      </c>
    </row>
    <row r="17" customFormat="false" ht="15" hidden="false" customHeight="true" outlineLevel="0" collapsed="false">
      <c r="A17" s="7" t="s">
        <v>27</v>
      </c>
      <c r="B17" s="12" t="n">
        <f aca="false">B15*B16</f>
        <v>1420000</v>
      </c>
      <c r="C17" s="9"/>
      <c r="D17" s="10"/>
    </row>
    <row r="18" customFormat="false" ht="15" hidden="false" customHeight="true" outlineLevel="0" collapsed="false">
      <c r="A18" s="7" t="s">
        <v>28</v>
      </c>
      <c r="B18" s="8" t="n">
        <v>75</v>
      </c>
      <c r="C18" s="9"/>
      <c r="D18" s="10" t="s">
        <v>29</v>
      </c>
    </row>
    <row r="19" customFormat="false" ht="15" hidden="false" customHeight="true" outlineLevel="0" collapsed="false">
      <c r="A19" s="7" t="s">
        <v>30</v>
      </c>
      <c r="B19" s="8" t="n">
        <v>6</v>
      </c>
      <c r="C19" s="9"/>
      <c r="D19" s="10" t="s">
        <v>31</v>
      </c>
    </row>
    <row r="20" customFormat="false" ht="15" hidden="false" customHeight="true" outlineLevel="0" collapsed="false">
      <c r="A20" s="7" t="s">
        <v>32</v>
      </c>
      <c r="B20" s="11" t="n">
        <v>0.1</v>
      </c>
      <c r="C20" s="9"/>
      <c r="D20" s="10" t="s">
        <v>33</v>
      </c>
    </row>
    <row r="21" customFormat="false" ht="15" hidden="false" customHeight="true" outlineLevel="0" collapsed="false">
      <c r="A21" s="13" t="s">
        <v>34</v>
      </c>
      <c r="B21" s="14" t="n">
        <f aca="false">B18*B19*B20</f>
        <v>45</v>
      </c>
      <c r="C21" s="9"/>
      <c r="D21" s="10"/>
    </row>
    <row r="22" customFormat="false" ht="15" hidden="false" customHeight="true" outlineLevel="0" collapsed="false">
      <c r="A22" s="15" t="s">
        <v>35</v>
      </c>
      <c r="B22" s="16" t="n">
        <f aca="false">B17*B21</f>
        <v>63900000</v>
      </c>
      <c r="C22" s="16" t="n">
        <f aca="false">B22</f>
        <v>63900000</v>
      </c>
      <c r="D22" s="17"/>
    </row>
    <row r="24" customFormat="false" ht="15" hidden="false" customHeight="true" outlineLevel="0" collapsed="false">
      <c r="A24" s="6" t="s">
        <v>36</v>
      </c>
    </row>
    <row r="25" customFormat="false" ht="15" hidden="false" customHeight="true" outlineLevel="0" collapsed="false">
      <c r="A25" s="7" t="s">
        <v>37</v>
      </c>
      <c r="B25" s="8" t="n">
        <v>1000000</v>
      </c>
      <c r="C25" s="9"/>
      <c r="D25" s="10" t="s">
        <v>38</v>
      </c>
    </row>
    <row r="26" customFormat="false" ht="15" hidden="false" customHeight="true" outlineLevel="0" collapsed="false">
      <c r="A26" s="7" t="s">
        <v>39</v>
      </c>
      <c r="B26" s="18" t="n">
        <v>300</v>
      </c>
      <c r="C26" s="9"/>
      <c r="D26" s="10" t="s">
        <v>40</v>
      </c>
    </row>
    <row r="27" customFormat="false" ht="15" hidden="false" customHeight="true" outlineLevel="0" collapsed="false">
      <c r="A27" s="7" t="s">
        <v>41</v>
      </c>
      <c r="B27" s="11" t="n">
        <v>0.05</v>
      </c>
      <c r="C27" s="9"/>
      <c r="D27" s="10" t="s">
        <v>42</v>
      </c>
    </row>
    <row r="28" customFormat="false" ht="15" hidden="false" customHeight="true" outlineLevel="0" collapsed="false">
      <c r="A28" s="13" t="s">
        <v>43</v>
      </c>
      <c r="B28" s="14" t="n">
        <f aca="false">B26*B27</f>
        <v>15</v>
      </c>
      <c r="C28" s="9"/>
      <c r="D28" s="10"/>
    </row>
    <row r="29" customFormat="false" ht="15" hidden="false" customHeight="true" outlineLevel="0" collapsed="false">
      <c r="A29" s="15" t="s">
        <v>44</v>
      </c>
      <c r="B29" s="16" t="n">
        <f aca="false">B25*B28</f>
        <v>15000000</v>
      </c>
      <c r="C29" s="16" t="n">
        <f aca="false">B29</f>
        <v>15000000</v>
      </c>
      <c r="D29" s="17"/>
    </row>
    <row r="31" customFormat="false" ht="15" hidden="false" customHeight="true" outlineLevel="0" collapsed="false">
      <c r="A31" s="6" t="s">
        <v>45</v>
      </c>
    </row>
    <row r="32" customFormat="false" ht="15" hidden="false" customHeight="true" outlineLevel="0" collapsed="false">
      <c r="A32" s="7" t="s">
        <v>46</v>
      </c>
      <c r="B32" s="8" t="n">
        <v>500000</v>
      </c>
      <c r="C32" s="9"/>
      <c r="D32" s="10" t="s">
        <v>47</v>
      </c>
    </row>
    <row r="33" customFormat="false" ht="15" hidden="false" customHeight="true" outlineLevel="0" collapsed="false">
      <c r="A33" s="7" t="s">
        <v>48</v>
      </c>
      <c r="B33" s="18" t="n">
        <v>500</v>
      </c>
      <c r="C33" s="9"/>
      <c r="D33" s="10" t="s">
        <v>49</v>
      </c>
    </row>
    <row r="34" customFormat="false" ht="15" hidden="false" customHeight="true" outlineLevel="0" collapsed="false">
      <c r="A34" s="7" t="s">
        <v>50</v>
      </c>
      <c r="B34" s="11" t="n">
        <v>0.035</v>
      </c>
      <c r="C34" s="9"/>
      <c r="D34" s="10" t="s">
        <v>51</v>
      </c>
    </row>
    <row r="35" customFormat="false" ht="15" hidden="false" customHeight="true" outlineLevel="0" collapsed="false">
      <c r="A35" s="13" t="s">
        <v>52</v>
      </c>
      <c r="B35" s="14" t="n">
        <f aca="false">B33*B34</f>
        <v>17.5</v>
      </c>
      <c r="C35" s="9"/>
      <c r="D35" s="10"/>
    </row>
    <row r="36" customFormat="false" ht="15" hidden="false" customHeight="true" outlineLevel="0" collapsed="false">
      <c r="A36" s="15" t="s">
        <v>53</v>
      </c>
      <c r="B36" s="16" t="n">
        <f aca="false">B32*B35</f>
        <v>8750000</v>
      </c>
      <c r="C36" s="16" t="n">
        <f aca="false">B36</f>
        <v>8750000</v>
      </c>
      <c r="D36" s="17"/>
    </row>
    <row r="38" customFormat="false" ht="15.75" hidden="false" customHeight="true" outlineLevel="0" collapsed="false">
      <c r="A38" s="19" t="s">
        <v>54</v>
      </c>
      <c r="B38" s="20"/>
      <c r="C38" s="21" t="n">
        <f aca="false">C22+C29+C36</f>
        <v>87650000</v>
      </c>
      <c r="D38" s="20"/>
    </row>
    <row r="40" customFormat="false" ht="15" hidden="false" customHeight="true" outlineLevel="0" collapsed="false">
      <c r="A40" s="6" t="s">
        <v>55</v>
      </c>
    </row>
    <row r="41" customFormat="false" ht="15" hidden="false" customHeight="true" outlineLevel="0" collapsed="false">
      <c r="A41" s="4" t="s">
        <v>56</v>
      </c>
    </row>
    <row r="42" customFormat="false" ht="15" hidden="false" customHeight="true" outlineLevel="0" collapsed="false">
      <c r="A42" s="7" t="s">
        <v>57</v>
      </c>
      <c r="B42" s="9"/>
      <c r="C42" s="22" t="n">
        <f aca="false">3500000*0.2*B18*B19*B20</f>
        <v>31500000</v>
      </c>
      <c r="D42" s="10" t="s">
        <v>58</v>
      </c>
    </row>
    <row r="43" customFormat="false" ht="15" hidden="false" customHeight="true" outlineLevel="0" collapsed="false">
      <c r="A43" s="7" t="s">
        <v>59</v>
      </c>
      <c r="B43" s="9"/>
      <c r="C43" s="22" t="n">
        <f aca="false">500000*B26*B27</f>
        <v>7500000</v>
      </c>
      <c r="D43" s="10" t="s">
        <v>60</v>
      </c>
    </row>
    <row r="44" customFormat="false" ht="15" hidden="false" customHeight="true" outlineLevel="0" collapsed="false">
      <c r="A44" s="7" t="s">
        <v>61</v>
      </c>
      <c r="B44" s="9"/>
      <c r="C44" s="22" t="n">
        <f aca="false">300000*B33*B34</f>
        <v>5250000</v>
      </c>
      <c r="D44" s="10" t="s">
        <v>62</v>
      </c>
    </row>
    <row r="45" customFormat="false" ht="15" hidden="false" customHeight="true" outlineLevel="0" collapsed="false">
      <c r="A45" s="15" t="s">
        <v>63</v>
      </c>
      <c r="B45" s="23"/>
      <c r="C45" s="16" t="n">
        <f aca="false">C42+C43+C44</f>
        <v>44250000</v>
      </c>
      <c r="D45" s="17"/>
    </row>
    <row r="47" customFormat="false" ht="15" hidden="false" customHeight="true" outlineLevel="0" collapsed="false">
      <c r="A47" s="6" t="s">
        <v>64</v>
      </c>
    </row>
    <row r="48" customFormat="false" ht="15" hidden="false" customHeight="true" outlineLevel="0" collapsed="false">
      <c r="A48" s="7" t="s">
        <v>65</v>
      </c>
      <c r="B48" s="8" t="n">
        <v>10000</v>
      </c>
      <c r="C48" s="9"/>
      <c r="D48" s="10" t="s">
        <v>66</v>
      </c>
    </row>
    <row r="49" customFormat="false" ht="15" hidden="false" customHeight="true" outlineLevel="0" collapsed="false">
      <c r="A49" s="7" t="s">
        <v>67</v>
      </c>
      <c r="B49" s="9"/>
      <c r="C49" s="14" t="n">
        <f aca="false">B21</f>
        <v>45</v>
      </c>
      <c r="D49" s="10" t="s">
        <v>68</v>
      </c>
    </row>
    <row r="50" customFormat="false" ht="15" hidden="false" customHeight="true" outlineLevel="0" collapsed="false">
      <c r="A50" s="15" t="s">
        <v>69</v>
      </c>
      <c r="B50" s="23"/>
      <c r="C50" s="16" t="n">
        <f aca="false">B48*C49</f>
        <v>450000</v>
      </c>
      <c r="D50" s="17"/>
    </row>
    <row r="52" customFormat="false" ht="15" hidden="false" customHeight="true" outlineLevel="0" collapsed="false">
      <c r="A52" s="6" t="s">
        <v>70</v>
      </c>
    </row>
    <row r="53" customFormat="false" ht="15" hidden="false" customHeight="true" outlineLevel="0" collapsed="false">
      <c r="A53" s="7" t="s">
        <v>71</v>
      </c>
      <c r="B53" s="9"/>
      <c r="C53" s="24" t="n">
        <f aca="false">C38*4</f>
        <v>350600000</v>
      </c>
      <c r="D53" s="10" t="s">
        <v>72</v>
      </c>
    </row>
    <row r="55" customFormat="false" ht="15" hidden="false" customHeight="true" outlineLevel="0" collapsed="false">
      <c r="A55" s="6" t="s">
        <v>73</v>
      </c>
    </row>
    <row r="56" customFormat="false" ht="15" hidden="false" customHeight="true" outlineLevel="0" collapsed="false">
      <c r="A56" s="7" t="s">
        <v>74</v>
      </c>
      <c r="B56" s="13" t="s">
        <v>75</v>
      </c>
      <c r="C56" s="9"/>
      <c r="D56" s="10" t="s">
        <v>76</v>
      </c>
    </row>
    <row r="57" customFormat="false" ht="15" hidden="false" customHeight="true" outlineLevel="0" collapsed="false">
      <c r="A57" s="7" t="s">
        <v>77</v>
      </c>
      <c r="B57" s="13" t="s">
        <v>78</v>
      </c>
      <c r="C57" s="9"/>
      <c r="D57" s="10" t="s">
        <v>79</v>
      </c>
    </row>
    <row r="58" customFormat="false" ht="15" hidden="false" customHeight="true" outlineLevel="0" collapsed="false">
      <c r="A58" s="7" t="s">
        <v>80</v>
      </c>
      <c r="B58" s="13" t="s">
        <v>81</v>
      </c>
      <c r="C58" s="9"/>
      <c r="D58" s="10" t="s">
        <v>82</v>
      </c>
    </row>
    <row r="59" customFormat="false" ht="15" hidden="false" customHeight="true" outlineLevel="0" collapsed="false">
      <c r="A59" s="7" t="s">
        <v>83</v>
      </c>
      <c r="B59" s="13" t="s">
        <v>84</v>
      </c>
      <c r="C59" s="9"/>
      <c r="D59" s="10" t="s">
        <v>85</v>
      </c>
    </row>
    <row r="60" customFormat="false" ht="15" hidden="false" customHeight="true" outlineLevel="0" collapsed="false">
      <c r="A60" s="7" t="s">
        <v>86</v>
      </c>
      <c r="B60" s="13" t="s">
        <v>87</v>
      </c>
      <c r="C60" s="9"/>
      <c r="D60" s="1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2026-03-19T13:25:46Z</dcterms:created>
  <dc:creator>openpyxl</dc:creator>
  <dc:description/>
  <dc:language>en-US</dc:language>
  <cp:lastModifiedBy/>
  <dcterms:modified xsi:type="dcterms:W3CDTF">2026-03-19T13:26:23Z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